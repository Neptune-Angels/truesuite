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ssumptions" sheetId="2" state="visible" r:id="rId4"/>
    <sheet name="Per-Unit Economics" sheetId="3" state="visible" r:id="rId5"/>
    <sheet name="Suite P&amp;L (Monthly)" sheetId="4" state="visible" r:id="rId6"/>
    <sheet name="Scenario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<sst xmlns="http://schemas.openxmlformats.org/spreadsheetml/2006/main" count="145" uniqueCount="143">
  <si>
    <t xml:space="preserve">True* Suite — Unit Economics Model</t>
  </si>
  <si>
    <t xml:space="preserve">How to use this model</t>
  </si>
  <si>
    <t xml:space="preserve">All blue cells are inputs you can change. Black cells are formulas. Green cells pull from other sheets.</t>
  </si>
  <si>
    <t xml:space="preserve">Start on the Assumptions tab — every number flows from there. Change an assumption and the whole model recomputes.</t>
  </si>
  <si>
    <t xml:space="preserve">Tabs</t>
  </si>
  <si>
    <t xml:space="preserve">Assumptions — every driver in one place (pricing, costs, CAC, churn, adoption, the calendar build-vs-buy toggle).</t>
  </si>
  <si>
    <t xml:space="preserve">Per-Unit Economics — CAC / LTV / payback for each product and for the bundle, per paying customer.</t>
  </si>
  <si>
    <t xml:space="preserve">Suite P&amp;L (Monthly) — a 24-month projection of customers, revenue, gross margin, and contribution after CAC.</t>
  </si>
  <si>
    <t xml:space="preserve">Scenarios — three quick what-if cases (Conservative / Base / Optimistic) on the levers that matter most.</t>
  </si>
  <si>
    <t xml:space="preserve">The big modeling decisions baked in</t>
  </si>
  <si>
    <t xml:space="preserve">1. Bundle is the business model. The strategy docs concluded all three products are sold as one bundle; the model treats the bundle as the primary unit and the standalone products as feeders.</t>
  </si>
  <si>
    <t xml:space="preserve">2. CAC is low because distribution is the moat. Most customers come from the existing TrueQR base via cross-sell, not paid acquisition. The blended CAC input reflects that — change it to test the thesis.</t>
  </si>
  <si>
    <t xml:space="preserve">3. The calendar build-vs-buy toggle (Assumptions C-section) swings TrueBook's margin materially. 'buy' adds a per-account monthly cost; 'build' zeroes it but you carry the engineering cost elsewhere. Flip it and watch TrueBook contribution move.</t>
  </si>
  <si>
    <t xml:space="preserve">4. AI generation cost is per-page (TruePage) and per-message (optional). It's small per unit but is the variable that must stay under the price — modeled explicitly.</t>
  </si>
  <si>
    <t xml:space="preserve">Caveat</t>
  </si>
  <si>
    <t xml:space="preserve">These are planning assumptions, not forecasts. Every input is a guess until validated against the real TrueQR list and live cost data. The model's value is letting you change a guess and immediately see whether the unit economics still work.</t>
  </si>
  <si>
    <t xml:space="preserve">Assumptions — all model drivers</t>
  </si>
  <si>
    <t xml:space="preserve">Yellow cells are inputs. Change them to test the model.</t>
  </si>
  <si>
    <t xml:space="preserve">A. Pricing (monthly, per paying customer)</t>
  </si>
  <si>
    <t xml:space="preserve">TrueQR — standalone Pro</t>
  </si>
  <si>
    <t xml:space="preserve">Existing product baseline price</t>
  </si>
  <si>
    <t xml:space="preserve">TruePage — standalone Pro</t>
  </si>
  <si>
    <t xml:space="preserve">Strategy doc: ~$9–12/mo</t>
  </si>
  <si>
    <t xml:space="preserve">TrueBook — standalone Pro</t>
  </si>
  <si>
    <t xml:space="preserve">Priced as bundle lever, not standalone max</t>
  </si>
  <si>
    <t xml:space="preserve">Bundle (all three) Pro</t>
  </si>
  <si>
    <t xml:space="preserve">Discount vs $32 sum — the core offer</t>
  </si>
  <si>
    <t xml:space="preserve">  Implied bundle discount</t>
  </si>
  <si>
    <t xml:space="preserve">Auto-calculated</t>
  </si>
  <si>
    <t xml:space="preserve">B. Variable cost — TruePage (AI generation)</t>
  </si>
  <si>
    <t xml:space="preserve">AI cost per page generation</t>
  </si>
  <si>
    <t xml:space="preserve">Model call + retry; validate vs provider</t>
  </si>
  <si>
    <t xml:space="preserve">Avg generations per customer / mo</t>
  </si>
  <si>
    <t xml:space="preserve">Regens + new pages</t>
  </si>
  <si>
    <t xml:space="preserve">Hosting cost per page / mo</t>
  </si>
  <si>
    <t xml:space="preserve">Static page hosting + bandwidth</t>
  </si>
  <si>
    <t xml:space="preserve">C. Variable cost — TrueBook (calendar + notifications)</t>
  </si>
  <si>
    <t xml:space="preserve">Calendar sync: build or buy</t>
  </si>
  <si>
    <t xml:space="preserve">buy</t>
  </si>
  <si>
    <t xml:space="preserve">Type 'buy' or 'build' — flips cost below</t>
  </si>
  <si>
    <t xml:space="preserve">  Unified API cost / account / mo (buy)</t>
  </si>
  <si>
    <t xml:space="preserve">e.g. Nylas/Cronofy per-account fee</t>
  </si>
  <si>
    <t xml:space="preserve">  Direct API cost / account / mo (build)</t>
  </si>
  <si>
    <t xml:space="preserve">Marginal infra only; eng cost is elsewhere</t>
  </si>
  <si>
    <t xml:space="preserve">  Effective calendar cost / mo</t>
  </si>
  <si>
    <t xml:space="preserve">Driven by toggle above</t>
  </si>
  <si>
    <t xml:space="preserve">SMS cost per message</t>
  </si>
  <si>
    <t xml:space="preserve">Confirmation + reminders</t>
  </si>
  <si>
    <t xml:space="preserve">SMS messages per customer / mo</t>
  </si>
  <si>
    <t xml:space="preserve">Bookings x ~2 msgs each</t>
  </si>
  <si>
    <t xml:space="preserve">D. Other variable cost (all paying customers)</t>
  </si>
  <si>
    <t xml:space="preserve">Payment processing on subscription</t>
  </si>
  <si>
    <t xml:space="preserve">Stripe ~2.9% + fixed (fixed omitted)</t>
  </si>
  <si>
    <t xml:space="preserve">Support cost / customer / mo</t>
  </si>
  <si>
    <t xml:space="preserve">Higher for TrueBook — blended here</t>
  </si>
  <si>
    <t xml:space="preserve">E. Acquisition &amp; retention</t>
  </si>
  <si>
    <t xml:space="preserve">CAC — cross-sell from TrueQR base</t>
  </si>
  <si>
    <t xml:space="preserve">Email/in-app; the distribution moat</t>
  </si>
  <si>
    <t xml:space="preserve">CAC — paid/new acquisition</t>
  </si>
  <si>
    <t xml:space="preserve">SEO + paid; for net-new customers</t>
  </si>
  <si>
    <t xml:space="preserve">% of new customers from cross-sell</t>
  </si>
  <si>
    <t xml:space="preserve">Thesis: most growth is cheap cross-sell</t>
  </si>
  <si>
    <t xml:space="preserve">  Blended CAC</t>
  </si>
  <si>
    <t xml:space="preserve">Monthly churn (bundle)</t>
  </si>
  <si>
    <t xml:space="preserve">Bundle stickier than standalone</t>
  </si>
  <si>
    <t xml:space="preserve">Monthly churn (standalone)</t>
  </si>
  <si>
    <t xml:space="preserve">Single-product customers leave faster</t>
  </si>
  <si>
    <t xml:space="preserve">  Implied bundle lifetime (months)</t>
  </si>
  <si>
    <t xml:space="preserve">1 / churn</t>
  </si>
  <si>
    <t xml:space="preserve">F. Growth (for Suite P&amp;L projection)</t>
  </si>
  <si>
    <t xml:space="preserve">Starting paying customers (month 1)</t>
  </si>
  <si>
    <t xml:space="preserve">Initial converts from TrueQR base</t>
  </si>
  <si>
    <t xml:space="preserve">New customers added / month</t>
  </si>
  <si>
    <t xml:space="preserve">Gross adds before churn</t>
  </si>
  <si>
    <t xml:space="preserve">% of paying customers on bundle</t>
  </si>
  <si>
    <t xml:space="preserve">Rest are single/standalone</t>
  </si>
  <si>
    <t xml:space="preserve">Per-Unit Economics (per paying customer / month)</t>
  </si>
  <si>
    <t xml:space="preserve">Metric</t>
  </si>
  <si>
    <t xml:space="preserve">TrueQR</t>
  </si>
  <si>
    <t xml:space="preserve">TruePage</t>
  </si>
  <si>
    <t xml:space="preserve">TrueBook</t>
  </si>
  <si>
    <t xml:space="preserve">Bundle</t>
  </si>
  <si>
    <t xml:space="preserve">Notes</t>
  </si>
  <si>
    <t xml:space="preserve">Monthly revenue</t>
  </si>
  <si>
    <t xml:space="preserve">From Assumptions A</t>
  </si>
  <si>
    <t xml:space="preserve">AI generation cost</t>
  </si>
  <si>
    <t xml:space="preserve">TruePage only</t>
  </si>
  <si>
    <t xml:space="preserve">Hosting cost</t>
  </si>
  <si>
    <t xml:space="preserve">Page hosting</t>
  </si>
  <si>
    <t xml:space="preserve">Calendar sync cost</t>
  </si>
  <si>
    <t xml:space="preserve">TrueBook; driven by build/buy toggle</t>
  </si>
  <si>
    <t xml:space="preserve">SMS cost</t>
  </si>
  <si>
    <t xml:space="preserve">TrueBook notifications</t>
  </si>
  <si>
    <t xml:space="preserve">Payment processing</t>
  </si>
  <si>
    <t xml:space="preserve">% of revenue</t>
  </si>
  <si>
    <t xml:space="preserve">Support cost</t>
  </si>
  <si>
    <t xml:space="preserve">Blended; TrueBook heavier in reality</t>
  </si>
  <si>
    <t xml:space="preserve">Total variable cost</t>
  </si>
  <si>
    <t xml:space="preserve">Gross profit / mo</t>
  </si>
  <si>
    <t xml:space="preserve">Gross margin %</t>
  </si>
  <si>
    <t xml:space="preserve">LTV / CAC (bundle-focused)</t>
  </si>
  <si>
    <t xml:space="preserve">Customer lifetime (months)</t>
  </si>
  <si>
    <t xml:space="preserve">Bundle churn is lower (stickier)</t>
  </si>
  <si>
    <t xml:space="preserve">LTV (gross profit basis)</t>
  </si>
  <si>
    <t xml:space="preserve">CAC (blended)</t>
  </si>
  <si>
    <t xml:space="preserve">LTV : CAC ratio</t>
  </si>
  <si>
    <t xml:space="preserve">CAC payback (months)</t>
  </si>
  <si>
    <t xml:space="preserve">Note: LTV:CAC above ~3.0x is the standard health benchmark; payback under ~12 months is strong.</t>
  </si>
  <si>
    <t xml:space="preserve">Suite P&amp;L — 24-Month Projection</t>
  </si>
  <si>
    <t xml:space="preserve">Month</t>
  </si>
  <si>
    <t xml:space="preserve">Customers</t>
  </si>
  <si>
    <t xml:space="preserve">Beginning customers</t>
  </si>
  <si>
    <t xml:space="preserve">New customers</t>
  </si>
  <si>
    <t xml:space="preserve">Churned customers</t>
  </si>
  <si>
    <t xml:space="preserve">Ending customers</t>
  </si>
  <si>
    <t xml:space="preserve">Revenue &amp; Margin</t>
  </si>
  <si>
    <t xml:space="preserve">Blended revenue / customer</t>
  </si>
  <si>
    <t xml:space="preserve">Total revenue</t>
  </si>
  <si>
    <t xml:space="preserve">Blended GM %</t>
  </si>
  <si>
    <t xml:space="preserve">Gross profit</t>
  </si>
  <si>
    <t xml:space="preserve">Acquisition &amp; Contribution</t>
  </si>
  <si>
    <t xml:space="preserve">CAC spend (this month's adds)</t>
  </si>
  <si>
    <t xml:space="preserve">Contribution after CAC</t>
  </si>
  <si>
    <t xml:space="preserve">Cumulative contribution</t>
  </si>
  <si>
    <t xml:space="preserve">Note: month 1 'new' uses starting-customers input; months 2+ use monthly adds. Churn applies to beginning balance.</t>
  </si>
  <si>
    <t xml:space="preserve">Scenarios — key levers</t>
  </si>
  <si>
    <t xml:space="preserve">These are reference scenarios. Set the Assumptions tab to one of these columns to see full output.</t>
  </si>
  <si>
    <t xml:space="preserve">Lever</t>
  </si>
  <si>
    <t xml:space="preserve">Conservative</t>
  </si>
  <si>
    <t xml:space="preserve">Base</t>
  </si>
  <si>
    <t xml:space="preserve">Optimistic</t>
  </si>
  <si>
    <t xml:space="preserve">Comment</t>
  </si>
  <si>
    <t xml:space="preserve">Bundle price ($/mo)</t>
  </si>
  <si>
    <t xml:space="preserve">Higher price tests willingness to pay</t>
  </si>
  <si>
    <t xml:space="preserve">% new from cross-sell</t>
  </si>
  <si>
    <t xml:space="preserve">Core thesis: cheap distribution</t>
  </si>
  <si>
    <t xml:space="preserve">Stickiness of the loop</t>
  </si>
  <si>
    <t xml:space="preserve">New customers / month</t>
  </si>
  <si>
    <t xml:space="preserve">Velocity of cross-sell + SEO</t>
  </si>
  <si>
    <t xml:space="preserve">Calendar cost / acct (buy)</t>
  </si>
  <si>
    <t xml:space="preserve">Vendor negotiation upside</t>
  </si>
  <si>
    <t xml:space="preserve">% on bundle</t>
  </si>
  <si>
    <t xml:space="preserve">Attach rate of full suite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</si>
</sst>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.00;&quot;($&quot;#,##0.00\);\-"/>
    <numFmt numFmtId="166" formatCode="0.0%;\(0.0%\);\-"/>
    <numFmt numFmtId="167" formatCode="#,##0;\(#,##0\);\-"/>
    <numFmt numFmtId="168" formatCode="\$#,##0;&quot;($&quot;#,##0\);\-"/>
    <numFmt numFmtId="169" formatCode="0.0\x"/>
    <numFmt numFmtId="170" formatCode="0.0"/>
    <numFmt numFmtId="171" formatCode="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1"/>
      <color rgb="FF008000"/>
      <name val="Arial"/>
      <family val="0"/>
      <charset val="1"/>
    </font>
    <font>
      <i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6DCE4"/>
        <bgColor rgb="FFBFBFBF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thin">
        <color rgb="FFBFBFBF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00"/>
  </cols>
  <sheetData>
    <row r="1" customFormat="false" ht="30" hidden="false" customHeight="true" outlineLevel="0" collapsed="false">
      <c r="B1" s="1" t="s">
        <v>0</v>
      </c>
    </row>
    <row r="2" customFormat="false" ht="15" hidden="false" customHeight="false" outlineLevel="0" collapsed="false">
      <c r="B2" s="2"/>
    </row>
    <row r="3" customFormat="false" ht="15" hidden="false" customHeight="false" outlineLevel="0" collapsed="false">
      <c r="B3" s="3" t="s">
        <v>1</v>
      </c>
    </row>
    <row r="4" customFormat="false" ht="15" hidden="false" customHeight="false" outlineLevel="0" collapsed="false">
      <c r="B4" s="2" t="s">
        <v>2</v>
      </c>
    </row>
    <row r="5" customFormat="false" ht="15" hidden="false" customHeight="false" outlineLevel="0" collapsed="false">
      <c r="B5" s="2" t="s">
        <v>3</v>
      </c>
    </row>
    <row r="6" customFormat="false" ht="15" hidden="false" customHeight="false" outlineLevel="0" collapsed="false">
      <c r="B6" s="2"/>
    </row>
    <row r="7" customFormat="false" ht="15" hidden="false" customHeight="false" outlineLevel="0" collapsed="false">
      <c r="B7" s="3" t="s">
        <v>4</v>
      </c>
    </row>
    <row r="8" customFormat="false" ht="15" hidden="false" customHeight="false" outlineLevel="0" collapsed="false">
      <c r="B8" s="2" t="s">
        <v>5</v>
      </c>
    </row>
    <row r="9" customFormat="false" ht="15" hidden="false" customHeight="false" outlineLevel="0" collapsed="false">
      <c r="B9" s="2" t="s">
        <v>6</v>
      </c>
    </row>
    <row r="10" customFormat="false" ht="15" hidden="false" customHeight="false" outlineLevel="0" collapsed="false">
      <c r="B10" s="2" t="s">
        <v>7</v>
      </c>
    </row>
    <row r="11" customFormat="false" ht="15" hidden="false" customHeight="false" outlineLevel="0" collapsed="false">
      <c r="B11" s="2" t="s">
        <v>8</v>
      </c>
    </row>
    <row r="12" customFormat="false" ht="15" hidden="false" customHeight="false" outlineLevel="0" collapsed="false">
      <c r="B12" s="2"/>
    </row>
    <row r="13" customFormat="false" ht="15" hidden="false" customHeight="false" outlineLevel="0" collapsed="false">
      <c r="B13" s="3" t="s">
        <v>9</v>
      </c>
    </row>
    <row r="14" customFormat="false" ht="23.85" hidden="false" customHeight="false" outlineLevel="0" collapsed="false">
      <c r="B14" s="2" t="s">
        <v>10</v>
      </c>
    </row>
    <row r="15" customFormat="false" ht="23.85" hidden="false" customHeight="false" outlineLevel="0" collapsed="false">
      <c r="B15" s="2" t="s">
        <v>11</v>
      </c>
    </row>
    <row r="16" customFormat="false" ht="23.85" hidden="false" customHeight="false" outlineLevel="0" collapsed="false">
      <c r="B16" s="2" t="s">
        <v>12</v>
      </c>
    </row>
    <row r="17" customFormat="false" ht="23.85" hidden="false" customHeight="false" outlineLevel="0" collapsed="false">
      <c r="B17" s="2" t="s">
        <v>13</v>
      </c>
    </row>
    <row r="18" customFormat="false" ht="15" hidden="false" customHeight="false" outlineLevel="0" collapsed="false">
      <c r="B18" s="2"/>
    </row>
    <row r="19" customFormat="false" ht="15" hidden="false" customHeight="false" outlineLevel="0" collapsed="false">
      <c r="B19" s="3" t="s">
        <v>14</v>
      </c>
    </row>
    <row r="20" customFormat="false" ht="23.85" hidden="false" customHeight="false" outlineLevel="0" collapsed="false">
      <c r="B20" s="2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2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52"/>
  </cols>
  <sheetData>
    <row r="1" customFormat="false" ht="25.5" hidden="false" customHeight="true" outlineLevel="0" collapsed="false">
      <c r="B1" s="4" t="s">
        <v>16</v>
      </c>
      <c r="C1" s="5"/>
      <c r="D1" s="5"/>
      <c r="E1" s="5"/>
    </row>
    <row r="2" customFormat="false" ht="15" hidden="false" customHeight="false" outlineLevel="0" collapsed="false">
      <c r="B2" s="6" t="s">
        <v>17</v>
      </c>
    </row>
    <row r="4" customFormat="false" ht="15" hidden="false" customHeight="false" outlineLevel="0" collapsed="false">
      <c r="B4" s="7" t="s">
        <v>18</v>
      </c>
      <c r="C4" s="7"/>
      <c r="D4" s="7"/>
      <c r="E4" s="7"/>
    </row>
    <row r="5" customFormat="false" ht="15" hidden="false" customHeight="false" outlineLevel="0" collapsed="false">
      <c r="B5" s="8" t="s">
        <v>19</v>
      </c>
      <c r="C5" s="9" t="n">
        <v>5</v>
      </c>
      <c r="E5" s="10" t="s">
        <v>20</v>
      </c>
    </row>
    <row r="6" customFormat="false" ht="15" hidden="false" customHeight="false" outlineLevel="0" collapsed="false">
      <c r="B6" s="8" t="s">
        <v>21</v>
      </c>
      <c r="C6" s="9" t="n">
        <v>12</v>
      </c>
      <c r="E6" s="10" t="s">
        <v>22</v>
      </c>
    </row>
    <row r="7" customFormat="false" ht="15" hidden="false" customHeight="false" outlineLevel="0" collapsed="false">
      <c r="B7" s="8" t="s">
        <v>23</v>
      </c>
      <c r="C7" s="9" t="n">
        <v>15</v>
      </c>
      <c r="E7" s="10" t="s">
        <v>24</v>
      </c>
    </row>
    <row r="8" customFormat="false" ht="15" hidden="false" customHeight="false" outlineLevel="0" collapsed="false">
      <c r="B8" s="8" t="s">
        <v>25</v>
      </c>
      <c r="C8" s="9" t="n">
        <v>24</v>
      </c>
      <c r="E8" s="10" t="s">
        <v>26</v>
      </c>
    </row>
    <row r="9" customFormat="false" ht="15" hidden="false" customHeight="false" outlineLevel="0" collapsed="false">
      <c r="B9" s="8" t="s">
        <v>27</v>
      </c>
      <c r="C9" s="11" t="n">
        <f aca="false">1-C8/(C5+C6+C7)</f>
        <v>0.25</v>
      </c>
      <c r="E9" s="10" t="s">
        <v>28</v>
      </c>
    </row>
    <row r="11" customFormat="false" ht="15" hidden="false" customHeight="false" outlineLevel="0" collapsed="false">
      <c r="B11" s="7" t="s">
        <v>29</v>
      </c>
      <c r="C11" s="7"/>
      <c r="D11" s="7"/>
      <c r="E11" s="7"/>
    </row>
    <row r="12" customFormat="false" ht="15" hidden="false" customHeight="false" outlineLevel="0" collapsed="false">
      <c r="B12" s="8" t="s">
        <v>30</v>
      </c>
      <c r="C12" s="9" t="n">
        <v>0.04</v>
      </c>
      <c r="E12" s="10" t="s">
        <v>31</v>
      </c>
    </row>
    <row r="13" customFormat="false" ht="15" hidden="false" customHeight="false" outlineLevel="0" collapsed="false">
      <c r="B13" s="8" t="s">
        <v>32</v>
      </c>
      <c r="C13" s="12" t="n">
        <v>3</v>
      </c>
      <c r="E13" s="10" t="s">
        <v>33</v>
      </c>
    </row>
    <row r="14" customFormat="false" ht="15" hidden="false" customHeight="false" outlineLevel="0" collapsed="false">
      <c r="B14" s="8" t="s">
        <v>34</v>
      </c>
      <c r="C14" s="9" t="n">
        <v>0.3</v>
      </c>
      <c r="E14" s="10" t="s">
        <v>35</v>
      </c>
    </row>
    <row r="16" customFormat="false" ht="15" hidden="false" customHeight="false" outlineLevel="0" collapsed="false">
      <c r="B16" s="7" t="s">
        <v>36</v>
      </c>
      <c r="C16" s="7"/>
      <c r="D16" s="7"/>
      <c r="E16" s="7"/>
    </row>
    <row r="17" customFormat="false" ht="15" hidden="false" customHeight="false" outlineLevel="0" collapsed="false">
      <c r="B17" s="8" t="s">
        <v>37</v>
      </c>
      <c r="C17" s="13" t="s">
        <v>38</v>
      </c>
      <c r="E17" s="10" t="s">
        <v>39</v>
      </c>
    </row>
    <row r="18" customFormat="false" ht="15" hidden="false" customHeight="false" outlineLevel="0" collapsed="false">
      <c r="B18" s="8" t="s">
        <v>40</v>
      </c>
      <c r="C18" s="9" t="n">
        <v>0.5</v>
      </c>
      <c r="E18" s="10" t="s">
        <v>41</v>
      </c>
    </row>
    <row r="19" customFormat="false" ht="15" hidden="false" customHeight="false" outlineLevel="0" collapsed="false">
      <c r="B19" s="8" t="s">
        <v>42</v>
      </c>
      <c r="C19" s="9" t="n">
        <v>0.05</v>
      </c>
      <c r="E19" s="10" t="s">
        <v>43</v>
      </c>
    </row>
    <row r="20" customFormat="false" ht="15" hidden="false" customHeight="false" outlineLevel="0" collapsed="false">
      <c r="B20" s="8" t="s">
        <v>44</v>
      </c>
      <c r="C20" s="14" t="n">
        <f aca="false">IF(C17="build",C19,C18)</f>
        <v>0.5</v>
      </c>
      <c r="E20" s="10" t="s">
        <v>45</v>
      </c>
    </row>
    <row r="21" customFormat="false" ht="15" hidden="false" customHeight="false" outlineLevel="0" collapsed="false">
      <c r="B21" s="8" t="s">
        <v>46</v>
      </c>
      <c r="C21" s="9" t="n">
        <v>0.01</v>
      </c>
      <c r="E21" s="10" t="s">
        <v>47</v>
      </c>
    </row>
    <row r="22" customFormat="false" ht="15" hidden="false" customHeight="false" outlineLevel="0" collapsed="false">
      <c r="B22" s="8" t="s">
        <v>48</v>
      </c>
      <c r="C22" s="12" t="n">
        <v>20</v>
      </c>
      <c r="E22" s="10" t="s">
        <v>49</v>
      </c>
    </row>
    <row r="24" customFormat="false" ht="15" hidden="false" customHeight="false" outlineLevel="0" collapsed="false">
      <c r="B24" s="7" t="s">
        <v>50</v>
      </c>
      <c r="C24" s="7"/>
      <c r="D24" s="7"/>
      <c r="E24" s="7"/>
    </row>
    <row r="25" customFormat="false" ht="15" hidden="false" customHeight="false" outlineLevel="0" collapsed="false">
      <c r="B25" s="8" t="s">
        <v>51</v>
      </c>
      <c r="C25" s="15" t="n">
        <v>0.029</v>
      </c>
      <c r="E25" s="10" t="s">
        <v>52</v>
      </c>
    </row>
    <row r="26" customFormat="false" ht="15" hidden="false" customHeight="false" outlineLevel="0" collapsed="false">
      <c r="B26" s="8" t="s">
        <v>53</v>
      </c>
      <c r="C26" s="9" t="n">
        <v>1.5</v>
      </c>
      <c r="E26" s="10" t="s">
        <v>54</v>
      </c>
    </row>
    <row r="28" customFormat="false" ht="15" hidden="false" customHeight="false" outlineLevel="0" collapsed="false">
      <c r="B28" s="7" t="s">
        <v>55</v>
      </c>
      <c r="C28" s="7"/>
      <c r="D28" s="7"/>
      <c r="E28" s="7"/>
    </row>
    <row r="29" customFormat="false" ht="15" hidden="false" customHeight="false" outlineLevel="0" collapsed="false">
      <c r="B29" s="8" t="s">
        <v>56</v>
      </c>
      <c r="C29" s="16" t="n">
        <v>8</v>
      </c>
      <c r="E29" s="10" t="s">
        <v>57</v>
      </c>
    </row>
    <row r="30" customFormat="false" ht="15" hidden="false" customHeight="false" outlineLevel="0" collapsed="false">
      <c r="B30" s="8" t="s">
        <v>58</v>
      </c>
      <c r="C30" s="16" t="n">
        <v>45</v>
      </c>
      <c r="E30" s="10" t="s">
        <v>59</v>
      </c>
    </row>
    <row r="31" customFormat="false" ht="15" hidden="false" customHeight="false" outlineLevel="0" collapsed="false">
      <c r="B31" s="8" t="s">
        <v>60</v>
      </c>
      <c r="C31" s="15" t="n">
        <v>0.7</v>
      </c>
      <c r="E31" s="10" t="s">
        <v>61</v>
      </c>
    </row>
    <row r="32" customFormat="false" ht="15" hidden="false" customHeight="false" outlineLevel="0" collapsed="false">
      <c r="B32" s="8" t="s">
        <v>62</v>
      </c>
      <c r="C32" s="17" t="n">
        <f aca="false">C29*C31+C30*(1-C31)</f>
        <v>19.1</v>
      </c>
      <c r="E32" s="10" t="s">
        <v>28</v>
      </c>
    </row>
    <row r="33" customFormat="false" ht="15" hidden="false" customHeight="false" outlineLevel="0" collapsed="false">
      <c r="B33" s="8" t="s">
        <v>63</v>
      </c>
      <c r="C33" s="15" t="n">
        <v>0.04</v>
      </c>
      <c r="E33" s="10" t="s">
        <v>64</v>
      </c>
    </row>
    <row r="34" customFormat="false" ht="15" hidden="false" customHeight="false" outlineLevel="0" collapsed="false">
      <c r="B34" s="8" t="s">
        <v>65</v>
      </c>
      <c r="C34" s="15" t="n">
        <v>0.07</v>
      </c>
      <c r="E34" s="10" t="s">
        <v>66</v>
      </c>
    </row>
    <row r="35" customFormat="false" ht="15" hidden="false" customHeight="false" outlineLevel="0" collapsed="false">
      <c r="B35" s="8" t="s">
        <v>67</v>
      </c>
      <c r="C35" s="18" t="n">
        <f aca="false">1/C33</f>
        <v>25</v>
      </c>
      <c r="E35" s="10" t="s">
        <v>68</v>
      </c>
    </row>
    <row r="37" customFormat="false" ht="15" hidden="false" customHeight="false" outlineLevel="0" collapsed="false">
      <c r="B37" s="7" t="s">
        <v>69</v>
      </c>
      <c r="C37" s="7"/>
      <c r="D37" s="7"/>
      <c r="E37" s="7"/>
    </row>
    <row r="38" customFormat="false" ht="15" hidden="false" customHeight="false" outlineLevel="0" collapsed="false">
      <c r="B38" s="8" t="s">
        <v>70</v>
      </c>
      <c r="C38" s="12" t="n">
        <v>50</v>
      </c>
      <c r="E38" s="10" t="s">
        <v>71</v>
      </c>
    </row>
    <row r="39" customFormat="false" ht="15" hidden="false" customHeight="false" outlineLevel="0" collapsed="false">
      <c r="B39" s="8" t="s">
        <v>72</v>
      </c>
      <c r="C39" s="12" t="n">
        <v>40</v>
      </c>
      <c r="E39" s="10" t="s">
        <v>73</v>
      </c>
    </row>
    <row r="40" customFormat="false" ht="15" hidden="false" customHeight="false" outlineLevel="0" collapsed="false">
      <c r="B40" s="8" t="s">
        <v>74</v>
      </c>
      <c r="C40" s="15" t="n">
        <v>0.6</v>
      </c>
      <c r="E40" s="10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6" min="3" style="0" width="15"/>
    <col collapsed="false" customWidth="true" hidden="false" outlineLevel="0" max="7" min="7" style="0" width="40"/>
  </cols>
  <sheetData>
    <row r="1" customFormat="false" ht="25.5" hidden="false" customHeight="true" outlineLevel="0" collapsed="false">
      <c r="B1" s="4" t="s">
        <v>76</v>
      </c>
      <c r="C1" s="5"/>
      <c r="D1" s="5"/>
      <c r="E1" s="5"/>
      <c r="F1" s="5"/>
      <c r="G1" s="5"/>
    </row>
    <row r="3" customFormat="false" ht="15" hidden="false" customHeight="false" outlineLevel="0" collapsed="false">
      <c r="B3" s="19" t="s">
        <v>77</v>
      </c>
      <c r="C3" s="19" t="s">
        <v>78</v>
      </c>
      <c r="D3" s="19" t="s">
        <v>79</v>
      </c>
      <c r="E3" s="19" t="s">
        <v>80</v>
      </c>
      <c r="F3" s="19" t="s">
        <v>81</v>
      </c>
      <c r="G3" s="19" t="s">
        <v>82</v>
      </c>
    </row>
    <row r="4" customFormat="false" ht="15" hidden="false" customHeight="false" outlineLevel="0" collapsed="false">
      <c r="B4" s="3" t="s">
        <v>83</v>
      </c>
      <c r="C4" s="20" t="n">
        <f aca="false">Assumptions!C5</f>
        <v>5</v>
      </c>
      <c r="D4" s="20" t="n">
        <f aca="false">Assumptions!C6</f>
        <v>12</v>
      </c>
      <c r="E4" s="20" t="n">
        <f aca="false">Assumptions!C7</f>
        <v>15</v>
      </c>
      <c r="F4" s="20" t="n">
        <f aca="false">Assumptions!C8</f>
        <v>24</v>
      </c>
      <c r="G4" s="21" t="s">
        <v>84</v>
      </c>
    </row>
    <row r="5" customFormat="false" ht="15" hidden="false" customHeight="false" outlineLevel="0" collapsed="false">
      <c r="B5" s="8" t="s">
        <v>85</v>
      </c>
      <c r="C5" s="22" t="n">
        <v>0</v>
      </c>
      <c r="D5" s="22" t="n">
        <f aca="false">Assumptions!C12*Assumptions!C13</f>
        <v>0.12</v>
      </c>
      <c r="E5" s="22" t="n">
        <v>0</v>
      </c>
      <c r="F5" s="22" t="n">
        <f aca="false">Assumptions!C12*Assumptions!C13</f>
        <v>0.12</v>
      </c>
      <c r="G5" s="21" t="s">
        <v>86</v>
      </c>
    </row>
    <row r="6" customFormat="false" ht="15" hidden="false" customHeight="false" outlineLevel="0" collapsed="false">
      <c r="B6" s="8" t="s">
        <v>87</v>
      </c>
      <c r="C6" s="20" t="n">
        <v>0</v>
      </c>
      <c r="D6" s="20" t="n">
        <f aca="false">Assumptions!C14</f>
        <v>0.3</v>
      </c>
      <c r="E6" s="20" t="n">
        <v>0</v>
      </c>
      <c r="F6" s="20" t="n">
        <f aca="false">Assumptions!C14</f>
        <v>0.3</v>
      </c>
      <c r="G6" s="21" t="s">
        <v>88</v>
      </c>
    </row>
    <row r="7" customFormat="false" ht="15" hidden="false" customHeight="false" outlineLevel="0" collapsed="false">
      <c r="B7" s="8" t="s">
        <v>89</v>
      </c>
      <c r="C7" s="20" t="n">
        <v>0</v>
      </c>
      <c r="D7" s="20" t="n">
        <v>0</v>
      </c>
      <c r="E7" s="20" t="n">
        <f aca="false">Assumptions!C20</f>
        <v>0.5</v>
      </c>
      <c r="F7" s="20" t="n">
        <f aca="false">Assumptions!C20</f>
        <v>0.5</v>
      </c>
      <c r="G7" s="21" t="s">
        <v>90</v>
      </c>
    </row>
    <row r="8" customFormat="false" ht="15" hidden="false" customHeight="false" outlineLevel="0" collapsed="false">
      <c r="B8" s="8" t="s">
        <v>91</v>
      </c>
      <c r="C8" s="22" t="n">
        <v>0</v>
      </c>
      <c r="D8" s="22" t="n">
        <v>0</v>
      </c>
      <c r="E8" s="22" t="n">
        <f aca="false">Assumptions!C21*Assumptions!C22</f>
        <v>0.2</v>
      </c>
      <c r="F8" s="22" t="n">
        <f aca="false">Assumptions!C21*Assumptions!C22</f>
        <v>0.2</v>
      </c>
      <c r="G8" s="21" t="s">
        <v>92</v>
      </c>
    </row>
    <row r="9" customFormat="false" ht="15" hidden="false" customHeight="false" outlineLevel="0" collapsed="false">
      <c r="B9" s="8" t="s">
        <v>93</v>
      </c>
      <c r="C9" s="22" t="n">
        <f aca="false">Assumptions!C5*Assumptions!C25</f>
        <v>0.145</v>
      </c>
      <c r="D9" s="22" t="n">
        <f aca="false">Assumptions!C6*Assumptions!C25</f>
        <v>0.348</v>
      </c>
      <c r="E9" s="22" t="n">
        <f aca="false">Assumptions!C7*Assumptions!C25</f>
        <v>0.435</v>
      </c>
      <c r="F9" s="22" t="n">
        <f aca="false">Assumptions!C8*Assumptions!C25</f>
        <v>0.696</v>
      </c>
      <c r="G9" s="21" t="s">
        <v>94</v>
      </c>
    </row>
    <row r="10" customFormat="false" ht="15" hidden="false" customHeight="false" outlineLevel="0" collapsed="false">
      <c r="B10" s="8" t="s">
        <v>95</v>
      </c>
      <c r="C10" s="20" t="n">
        <f aca="false">Assumptions!C26</f>
        <v>1.5</v>
      </c>
      <c r="D10" s="20" t="n">
        <f aca="false">Assumptions!C26</f>
        <v>1.5</v>
      </c>
      <c r="E10" s="20" t="n">
        <f aca="false">Assumptions!C26</f>
        <v>1.5</v>
      </c>
      <c r="F10" s="20" t="n">
        <f aca="false">Assumptions!C26</f>
        <v>1.5</v>
      </c>
      <c r="G10" s="21" t="s">
        <v>96</v>
      </c>
    </row>
    <row r="11" customFormat="false" ht="15" hidden="false" customHeight="false" outlineLevel="0" collapsed="false">
      <c r="B11" s="3" t="s">
        <v>97</v>
      </c>
      <c r="C11" s="23" t="n">
        <f aca="false">SUM(C5:C10)</f>
        <v>1.645</v>
      </c>
      <c r="D11" s="23" t="n">
        <f aca="false">SUM(D5:D10)</f>
        <v>2.268</v>
      </c>
      <c r="E11" s="23" t="n">
        <f aca="false">SUM(E5:E10)</f>
        <v>2.635</v>
      </c>
      <c r="F11" s="23" t="n">
        <f aca="false">SUM(F5:F10)</f>
        <v>3.316</v>
      </c>
    </row>
    <row r="12" customFormat="false" ht="15" hidden="false" customHeight="false" outlineLevel="0" collapsed="false">
      <c r="B12" s="3" t="s">
        <v>98</v>
      </c>
      <c r="C12" s="24" t="n">
        <f aca="false">C4-C11</f>
        <v>3.355</v>
      </c>
      <c r="D12" s="24" t="n">
        <f aca="false">D4-D11</f>
        <v>9.732</v>
      </c>
      <c r="E12" s="24" t="n">
        <f aca="false">E4-E11</f>
        <v>12.365</v>
      </c>
      <c r="F12" s="24" t="n">
        <f aca="false">F4-F11</f>
        <v>20.684</v>
      </c>
    </row>
    <row r="13" customFormat="false" ht="15" hidden="false" customHeight="false" outlineLevel="0" collapsed="false">
      <c r="B13" s="25" t="s">
        <v>99</v>
      </c>
      <c r="C13" s="26" t="n">
        <f aca="false">IF(C4=0,0,C12/C4)</f>
        <v>0.671</v>
      </c>
      <c r="D13" s="26" t="n">
        <f aca="false">IF(D4=0,0,D12/D4)</f>
        <v>0.811</v>
      </c>
      <c r="E13" s="26" t="n">
        <f aca="false">IF(E4=0,0,E12/E4)</f>
        <v>0.824333333333333</v>
      </c>
      <c r="F13" s="26" t="n">
        <f aca="false">IF(F4=0,0,F12/F4)</f>
        <v>0.861833333333333</v>
      </c>
    </row>
    <row r="15" customFormat="false" ht="15" hidden="false" customHeight="false" outlineLevel="0" collapsed="false">
      <c r="B15" s="7" t="s">
        <v>100</v>
      </c>
      <c r="C15" s="27"/>
      <c r="D15" s="27"/>
      <c r="E15" s="27"/>
      <c r="F15" s="27"/>
    </row>
    <row r="16" customFormat="false" ht="15" hidden="false" customHeight="false" outlineLevel="0" collapsed="false">
      <c r="B16" s="0" t="s">
        <v>101</v>
      </c>
      <c r="C16" s="28" t="n">
        <f aca="false">1/Assumptions!C34</f>
        <v>14.2857142857143</v>
      </c>
      <c r="D16" s="28" t="n">
        <f aca="false">1/Assumptions!C34</f>
        <v>14.2857142857143</v>
      </c>
      <c r="E16" s="28" t="n">
        <f aca="false">1/Assumptions!C34</f>
        <v>14.2857142857143</v>
      </c>
      <c r="F16" s="28" t="n">
        <f aca="false">1/Assumptions!C33</f>
        <v>25</v>
      </c>
      <c r="G16" s="21" t="s">
        <v>102</v>
      </c>
    </row>
    <row r="17" customFormat="false" ht="15" hidden="false" customHeight="false" outlineLevel="0" collapsed="false">
      <c r="B17" s="3" t="s">
        <v>103</v>
      </c>
      <c r="C17" s="29" t="n">
        <f aca="false">C12*C16</f>
        <v>47.9285714285714</v>
      </c>
      <c r="D17" s="29" t="n">
        <f aca="false">D12*D16</f>
        <v>139.028571428571</v>
      </c>
      <c r="E17" s="29" t="n">
        <f aca="false">E12*E16</f>
        <v>176.642857142857</v>
      </c>
      <c r="F17" s="29" t="n">
        <f aca="false">F12*F16</f>
        <v>517.1</v>
      </c>
    </row>
    <row r="18" customFormat="false" ht="15" hidden="false" customHeight="false" outlineLevel="0" collapsed="false">
      <c r="B18" s="0" t="s">
        <v>104</v>
      </c>
      <c r="C18" s="30" t="n">
        <f aca="false">Assumptions!C32</f>
        <v>19.1</v>
      </c>
      <c r="D18" s="30" t="n">
        <f aca="false">Assumptions!C32</f>
        <v>19.1</v>
      </c>
      <c r="E18" s="30" t="n">
        <f aca="false">Assumptions!C32</f>
        <v>19.1</v>
      </c>
      <c r="F18" s="30" t="n">
        <f aca="false">Assumptions!C32</f>
        <v>19.1</v>
      </c>
    </row>
    <row r="19" customFormat="false" ht="15" hidden="false" customHeight="false" outlineLevel="0" collapsed="false">
      <c r="B19" s="3" t="s">
        <v>105</v>
      </c>
      <c r="C19" s="31" t="n">
        <f aca="false">IF(C18=0,0,C17/C18)</f>
        <v>2.509349289454</v>
      </c>
      <c r="D19" s="31" t="n">
        <f aca="false">IF(D18=0,0,D17/D18)</f>
        <v>7.2789827973074</v>
      </c>
      <c r="E19" s="31" t="n">
        <f aca="false">IF(E18=0,0,E17/E18)</f>
        <v>9.24831712789828</v>
      </c>
      <c r="F19" s="31" t="n">
        <f aca="false">IF(F18=0,0,F17/F18)</f>
        <v>27.0732984293194</v>
      </c>
    </row>
    <row r="20" customFormat="false" ht="15" hidden="false" customHeight="false" outlineLevel="0" collapsed="false">
      <c r="B20" s="0" t="s">
        <v>106</v>
      </c>
      <c r="C20" s="32" t="n">
        <f aca="false">IF(C12=0,0,C18/C12)</f>
        <v>5.6929955290611</v>
      </c>
      <c r="D20" s="32" t="n">
        <f aca="false">IF(D12=0,0,D18/D12)</f>
        <v>1.9625976161118</v>
      </c>
      <c r="E20" s="32" t="n">
        <f aca="false">IF(E12=0,0,E18/E12)</f>
        <v>1.54468257177517</v>
      </c>
      <c r="F20" s="32" t="n">
        <f aca="false">IF(F12=0,0,F18/F12)</f>
        <v>0.923419067878554</v>
      </c>
    </row>
    <row r="21" customFormat="false" ht="15" hidden="false" customHeight="false" outlineLevel="0" collapsed="false">
      <c r="B21" s="6" t="s">
        <v>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Z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26" min="3" style="0" width="11"/>
  </cols>
  <sheetData>
    <row r="1" customFormat="false" ht="25.5" hidden="false" customHeight="true" outlineLevel="0" collapsed="false">
      <c r="B1" s="33" t="s">
        <v>108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3" customFormat="false" ht="15" hidden="false" customHeight="false" outlineLevel="0" collapsed="false">
      <c r="B3" s="34" t="s">
        <v>109</v>
      </c>
      <c r="C3" s="35" t="n">
        <v>1</v>
      </c>
      <c r="D3" s="35" t="n">
        <v>2</v>
      </c>
      <c r="E3" s="35" t="n">
        <v>3</v>
      </c>
      <c r="F3" s="35" t="n">
        <v>4</v>
      </c>
      <c r="G3" s="35" t="n">
        <v>5</v>
      </c>
      <c r="H3" s="35" t="n">
        <v>6</v>
      </c>
      <c r="I3" s="35" t="n">
        <v>7</v>
      </c>
      <c r="J3" s="35" t="n">
        <v>8</v>
      </c>
      <c r="K3" s="35" t="n">
        <v>9</v>
      </c>
      <c r="L3" s="35" t="n">
        <v>10</v>
      </c>
      <c r="M3" s="35" t="n">
        <v>11</v>
      </c>
      <c r="N3" s="35" t="n">
        <v>12</v>
      </c>
      <c r="O3" s="35" t="n">
        <v>13</v>
      </c>
      <c r="P3" s="35" t="n">
        <v>14</v>
      </c>
      <c r="Q3" s="35" t="n">
        <v>15</v>
      </c>
      <c r="R3" s="35" t="n">
        <v>16</v>
      </c>
      <c r="S3" s="35" t="n">
        <v>17</v>
      </c>
      <c r="T3" s="35" t="n">
        <v>18</v>
      </c>
      <c r="U3" s="35" t="n">
        <v>19</v>
      </c>
      <c r="V3" s="35" t="n">
        <v>20</v>
      </c>
      <c r="W3" s="35" t="n">
        <v>21</v>
      </c>
      <c r="X3" s="35" t="n">
        <v>22</v>
      </c>
      <c r="Y3" s="35" t="n">
        <v>23</v>
      </c>
      <c r="Z3" s="35" t="n">
        <v>24</v>
      </c>
    </row>
    <row r="4" customFormat="false" ht="15" hidden="false" customHeight="false" outlineLevel="0" collapsed="false">
      <c r="B4" s="7" t="s">
        <v>110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customFormat="false" ht="15" hidden="false" customHeight="false" outlineLevel="0" collapsed="false">
      <c r="B5" s="8" t="s">
        <v>111</v>
      </c>
      <c r="C5" s="36" t="n">
        <v>0</v>
      </c>
      <c r="D5" s="36" t="n">
        <f aca="false">C8</f>
        <v>50</v>
      </c>
      <c r="E5" s="36" t="n">
        <f aca="false">D8</f>
        <v>88</v>
      </c>
      <c r="F5" s="36" t="n">
        <f aca="false">E8</f>
        <v>124.48</v>
      </c>
      <c r="G5" s="36" t="n">
        <f aca="false">F8</f>
        <v>159.5008</v>
      </c>
      <c r="H5" s="36" t="n">
        <f aca="false">G8</f>
        <v>193.120768</v>
      </c>
      <c r="I5" s="36" t="n">
        <f aca="false">H8</f>
        <v>225.39593728</v>
      </c>
      <c r="J5" s="36" t="n">
        <f aca="false">I8</f>
        <v>256.3800997888</v>
      </c>
      <c r="K5" s="36" t="n">
        <f aca="false">J8</f>
        <v>286.124895797248</v>
      </c>
      <c r="L5" s="36" t="n">
        <f aca="false">K8</f>
        <v>314.679899965358</v>
      </c>
      <c r="M5" s="36" t="n">
        <f aca="false">L8</f>
        <v>342.092703966744</v>
      </c>
      <c r="N5" s="36" t="n">
        <f aca="false">M8</f>
        <v>368.408995808074</v>
      </c>
      <c r="O5" s="36" t="n">
        <f aca="false">N8</f>
        <v>393.672635975751</v>
      </c>
      <c r="P5" s="36" t="n">
        <f aca="false">O8</f>
        <v>417.925730536721</v>
      </c>
      <c r="Q5" s="36" t="n">
        <f aca="false">P8</f>
        <v>441.208701315252</v>
      </c>
      <c r="R5" s="36" t="n">
        <f aca="false">Q8</f>
        <v>463.560353262642</v>
      </c>
      <c r="S5" s="36" t="n">
        <f aca="false">R8</f>
        <v>485.017939132136</v>
      </c>
      <c r="T5" s="36" t="n">
        <f aca="false">S8</f>
        <v>505.617221566851</v>
      </c>
      <c r="U5" s="36" t="n">
        <f aca="false">T8</f>
        <v>525.392532704177</v>
      </c>
      <c r="V5" s="36" t="n">
        <f aca="false">U8</f>
        <v>544.37683139601</v>
      </c>
      <c r="W5" s="36" t="n">
        <f aca="false">V8</f>
        <v>562.601758140169</v>
      </c>
      <c r="X5" s="36" t="n">
        <f aca="false">W8</f>
        <v>580.097687814563</v>
      </c>
      <c r="Y5" s="36" t="n">
        <f aca="false">X8</f>
        <v>596.89378030198</v>
      </c>
      <c r="Z5" s="36" t="n">
        <f aca="false">Y8</f>
        <v>613.018029089901</v>
      </c>
    </row>
    <row r="6" customFormat="false" ht="15" hidden="false" customHeight="false" outlineLevel="0" collapsed="false">
      <c r="B6" s="8" t="s">
        <v>112</v>
      </c>
      <c r="C6" s="28" t="n">
        <f aca="false">Assumptions!C38</f>
        <v>50</v>
      </c>
      <c r="D6" s="28" t="n">
        <f aca="false">Assumptions!C39</f>
        <v>40</v>
      </c>
      <c r="E6" s="28" t="n">
        <f aca="false">Assumptions!C39</f>
        <v>40</v>
      </c>
      <c r="F6" s="28" t="n">
        <f aca="false">Assumptions!C39</f>
        <v>40</v>
      </c>
      <c r="G6" s="28" t="n">
        <f aca="false">Assumptions!C39</f>
        <v>40</v>
      </c>
      <c r="H6" s="28" t="n">
        <f aca="false">Assumptions!C39</f>
        <v>40</v>
      </c>
      <c r="I6" s="28" t="n">
        <f aca="false">Assumptions!C39</f>
        <v>40</v>
      </c>
      <c r="J6" s="28" t="n">
        <f aca="false">Assumptions!C39</f>
        <v>40</v>
      </c>
      <c r="K6" s="28" t="n">
        <f aca="false">Assumptions!C39</f>
        <v>40</v>
      </c>
      <c r="L6" s="28" t="n">
        <f aca="false">Assumptions!C39</f>
        <v>40</v>
      </c>
      <c r="M6" s="28" t="n">
        <f aca="false">Assumptions!C39</f>
        <v>40</v>
      </c>
      <c r="N6" s="28" t="n">
        <f aca="false">Assumptions!C39</f>
        <v>40</v>
      </c>
      <c r="O6" s="28" t="n">
        <f aca="false">Assumptions!C39</f>
        <v>40</v>
      </c>
      <c r="P6" s="28" t="n">
        <f aca="false">Assumptions!C39</f>
        <v>40</v>
      </c>
      <c r="Q6" s="28" t="n">
        <f aca="false">Assumptions!C39</f>
        <v>40</v>
      </c>
      <c r="R6" s="28" t="n">
        <f aca="false">Assumptions!C39</f>
        <v>40</v>
      </c>
      <c r="S6" s="28" t="n">
        <f aca="false">Assumptions!C39</f>
        <v>40</v>
      </c>
      <c r="T6" s="28" t="n">
        <f aca="false">Assumptions!C39</f>
        <v>40</v>
      </c>
      <c r="U6" s="28" t="n">
        <f aca="false">Assumptions!C39</f>
        <v>40</v>
      </c>
      <c r="V6" s="28" t="n">
        <f aca="false">Assumptions!C39</f>
        <v>40</v>
      </c>
      <c r="W6" s="28" t="n">
        <f aca="false">Assumptions!C39</f>
        <v>40</v>
      </c>
      <c r="X6" s="28" t="n">
        <f aca="false">Assumptions!C39</f>
        <v>40</v>
      </c>
      <c r="Y6" s="28" t="n">
        <f aca="false">Assumptions!C39</f>
        <v>40</v>
      </c>
      <c r="Z6" s="28" t="n">
        <f aca="false">Assumptions!C39</f>
        <v>40</v>
      </c>
    </row>
    <row r="7" customFormat="false" ht="15" hidden="false" customHeight="false" outlineLevel="0" collapsed="false">
      <c r="B7" s="8" t="s">
        <v>113</v>
      </c>
      <c r="C7" s="36" t="n">
        <f aca="false">-C5*Assumptions!C33</f>
        <v>-0</v>
      </c>
      <c r="D7" s="36" t="n">
        <f aca="false">-D5*Assumptions!C33</f>
        <v>-2</v>
      </c>
      <c r="E7" s="36" t="n">
        <f aca="false">-E5*Assumptions!C33</f>
        <v>-3.52</v>
      </c>
      <c r="F7" s="36" t="n">
        <f aca="false">-F5*Assumptions!C33</f>
        <v>-4.9792</v>
      </c>
      <c r="G7" s="36" t="n">
        <f aca="false">-G5*Assumptions!C33</f>
        <v>-6.380032</v>
      </c>
      <c r="H7" s="36" t="n">
        <f aca="false">-H5*Assumptions!C33</f>
        <v>-7.72483072</v>
      </c>
      <c r="I7" s="36" t="n">
        <f aca="false">-I5*Assumptions!C33</f>
        <v>-9.0158374912</v>
      </c>
      <c r="J7" s="36" t="n">
        <f aca="false">-J5*Assumptions!C33</f>
        <v>-10.255203991552</v>
      </c>
      <c r="K7" s="36" t="n">
        <f aca="false">-K5*Assumptions!C33</f>
        <v>-11.4449958318899</v>
      </c>
      <c r="L7" s="36" t="n">
        <f aca="false">-L5*Assumptions!C33</f>
        <v>-12.5871959986143</v>
      </c>
      <c r="M7" s="36" t="n">
        <f aca="false">-M5*Assumptions!C33</f>
        <v>-13.6837081586698</v>
      </c>
      <c r="N7" s="36" t="n">
        <f aca="false">-N5*Assumptions!C33</f>
        <v>-14.736359832323</v>
      </c>
      <c r="O7" s="36" t="n">
        <f aca="false">-O5*Assumptions!C33</f>
        <v>-15.74690543903</v>
      </c>
      <c r="P7" s="36" t="n">
        <f aca="false">-P5*Assumptions!C33</f>
        <v>-16.7170292214688</v>
      </c>
      <c r="Q7" s="36" t="n">
        <f aca="false">-Q5*Assumptions!C33</f>
        <v>-17.6483480526101</v>
      </c>
      <c r="R7" s="36" t="n">
        <f aca="false">-R5*Assumptions!C33</f>
        <v>-18.5424141305057</v>
      </c>
      <c r="S7" s="36" t="n">
        <f aca="false">-S5*Assumptions!C33</f>
        <v>-19.4007175652855</v>
      </c>
      <c r="T7" s="36" t="n">
        <f aca="false">-T5*Assumptions!C33</f>
        <v>-20.224688862674</v>
      </c>
      <c r="U7" s="36" t="n">
        <f aca="false">-U5*Assumptions!C33</f>
        <v>-21.0157013081671</v>
      </c>
      <c r="V7" s="36" t="n">
        <f aca="false">-V5*Assumptions!C33</f>
        <v>-21.7750732558404</v>
      </c>
      <c r="W7" s="36" t="n">
        <f aca="false">-W5*Assumptions!C33</f>
        <v>-22.5040703256068</v>
      </c>
      <c r="X7" s="36" t="n">
        <f aca="false">-X5*Assumptions!C33</f>
        <v>-23.2039075125825</v>
      </c>
      <c r="Y7" s="36" t="n">
        <f aca="false">-Y5*Assumptions!C33</f>
        <v>-23.8757512120792</v>
      </c>
      <c r="Z7" s="36" t="n">
        <f aca="false">-Z5*Assumptions!C33</f>
        <v>-24.520721163596</v>
      </c>
    </row>
    <row r="8" customFormat="false" ht="15" hidden="false" customHeight="false" outlineLevel="0" collapsed="false">
      <c r="B8" s="3" t="s">
        <v>114</v>
      </c>
      <c r="C8" s="37" t="n">
        <f aca="false">C5+C6+C7</f>
        <v>50</v>
      </c>
      <c r="D8" s="37" t="n">
        <f aca="false">D5+D6+D7</f>
        <v>88</v>
      </c>
      <c r="E8" s="37" t="n">
        <f aca="false">E5+E6+E7</f>
        <v>124.48</v>
      </c>
      <c r="F8" s="37" t="n">
        <f aca="false">F5+F6+F7</f>
        <v>159.5008</v>
      </c>
      <c r="G8" s="37" t="n">
        <f aca="false">G5+G6+G7</f>
        <v>193.120768</v>
      </c>
      <c r="H8" s="37" t="n">
        <f aca="false">H5+H6+H7</f>
        <v>225.39593728</v>
      </c>
      <c r="I8" s="37" t="n">
        <f aca="false">I5+I6+I7</f>
        <v>256.3800997888</v>
      </c>
      <c r="J8" s="37" t="n">
        <f aca="false">J5+J6+J7</f>
        <v>286.124895797248</v>
      </c>
      <c r="K8" s="37" t="n">
        <f aca="false">K5+K6+K7</f>
        <v>314.679899965358</v>
      </c>
      <c r="L8" s="37" t="n">
        <f aca="false">L5+L6+L7</f>
        <v>342.092703966744</v>
      </c>
      <c r="M8" s="37" t="n">
        <f aca="false">M5+M6+M7</f>
        <v>368.408995808074</v>
      </c>
      <c r="N8" s="37" t="n">
        <f aca="false">N5+N6+N7</f>
        <v>393.672635975751</v>
      </c>
      <c r="O8" s="37" t="n">
        <f aca="false">O5+O6+O7</f>
        <v>417.925730536721</v>
      </c>
      <c r="P8" s="37" t="n">
        <f aca="false">P5+P6+P7</f>
        <v>441.208701315252</v>
      </c>
      <c r="Q8" s="37" t="n">
        <f aca="false">Q5+Q6+Q7</f>
        <v>463.560353262642</v>
      </c>
      <c r="R8" s="37" t="n">
        <f aca="false">R5+R6+R7</f>
        <v>485.017939132136</v>
      </c>
      <c r="S8" s="37" t="n">
        <f aca="false">S5+S6+S7</f>
        <v>505.617221566851</v>
      </c>
      <c r="T8" s="37" t="n">
        <f aca="false">T5+T6+T7</f>
        <v>525.392532704177</v>
      </c>
      <c r="U8" s="37" t="n">
        <f aca="false">U5+U6+U7</f>
        <v>544.37683139601</v>
      </c>
      <c r="V8" s="37" t="n">
        <f aca="false">V5+V6+V7</f>
        <v>562.601758140169</v>
      </c>
      <c r="W8" s="37" t="n">
        <f aca="false">W5+W6+W7</f>
        <v>580.097687814563</v>
      </c>
      <c r="X8" s="37" t="n">
        <f aca="false">X5+X6+X7</f>
        <v>596.89378030198</v>
      </c>
      <c r="Y8" s="37" t="n">
        <f aca="false">Y5+Y6+Y7</f>
        <v>613.018029089901</v>
      </c>
      <c r="Z8" s="37" t="n">
        <f aca="false">Z5+Z6+Z7</f>
        <v>628.497307926305</v>
      </c>
    </row>
    <row r="10" customFormat="false" ht="15" hidden="false" customHeight="false" outlineLevel="0" collapsed="false">
      <c r="B10" s="7" t="s">
        <v>115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customFormat="false" ht="15" hidden="false" customHeight="false" outlineLevel="0" collapsed="false">
      <c r="B11" s="8" t="s">
        <v>116</v>
      </c>
      <c r="C11" s="22" t="n">
        <f aca="false">Assumptions!C40*Assumptions!C8+(1-Assumptions!C40)*Assumptions!C6</f>
        <v>19.2</v>
      </c>
      <c r="D11" s="22" t="n">
        <f aca="false">Assumptions!C40*Assumptions!C8+(1-Assumptions!C40)*Assumptions!C6</f>
        <v>19.2</v>
      </c>
      <c r="E11" s="22" t="n">
        <f aca="false">Assumptions!C40*Assumptions!C8+(1-Assumptions!C40)*Assumptions!C6</f>
        <v>19.2</v>
      </c>
      <c r="F11" s="22" t="n">
        <f aca="false">Assumptions!C40*Assumptions!C8+(1-Assumptions!C40)*Assumptions!C6</f>
        <v>19.2</v>
      </c>
      <c r="G11" s="22" t="n">
        <f aca="false">Assumptions!C40*Assumptions!C8+(1-Assumptions!C40)*Assumptions!C6</f>
        <v>19.2</v>
      </c>
      <c r="H11" s="22" t="n">
        <f aca="false">Assumptions!C40*Assumptions!C8+(1-Assumptions!C40)*Assumptions!C6</f>
        <v>19.2</v>
      </c>
      <c r="I11" s="22" t="n">
        <f aca="false">Assumptions!C40*Assumptions!C8+(1-Assumptions!C40)*Assumptions!C6</f>
        <v>19.2</v>
      </c>
      <c r="J11" s="22" t="n">
        <f aca="false">Assumptions!C40*Assumptions!C8+(1-Assumptions!C40)*Assumptions!C6</f>
        <v>19.2</v>
      </c>
      <c r="K11" s="22" t="n">
        <f aca="false">Assumptions!C40*Assumptions!C8+(1-Assumptions!C40)*Assumptions!C6</f>
        <v>19.2</v>
      </c>
      <c r="L11" s="22" t="n">
        <f aca="false">Assumptions!C40*Assumptions!C8+(1-Assumptions!C40)*Assumptions!C6</f>
        <v>19.2</v>
      </c>
      <c r="M11" s="22" t="n">
        <f aca="false">Assumptions!C40*Assumptions!C8+(1-Assumptions!C40)*Assumptions!C6</f>
        <v>19.2</v>
      </c>
      <c r="N11" s="22" t="n">
        <f aca="false">Assumptions!C40*Assumptions!C8+(1-Assumptions!C40)*Assumptions!C6</f>
        <v>19.2</v>
      </c>
      <c r="O11" s="22" t="n">
        <f aca="false">Assumptions!C40*Assumptions!C8+(1-Assumptions!C40)*Assumptions!C6</f>
        <v>19.2</v>
      </c>
      <c r="P11" s="22" t="n">
        <f aca="false">Assumptions!C40*Assumptions!C8+(1-Assumptions!C40)*Assumptions!C6</f>
        <v>19.2</v>
      </c>
      <c r="Q11" s="22" t="n">
        <f aca="false">Assumptions!C40*Assumptions!C8+(1-Assumptions!C40)*Assumptions!C6</f>
        <v>19.2</v>
      </c>
      <c r="R11" s="22" t="n">
        <f aca="false">Assumptions!C40*Assumptions!C8+(1-Assumptions!C40)*Assumptions!C6</f>
        <v>19.2</v>
      </c>
      <c r="S11" s="22" t="n">
        <f aca="false">Assumptions!C40*Assumptions!C8+(1-Assumptions!C40)*Assumptions!C6</f>
        <v>19.2</v>
      </c>
      <c r="T11" s="22" t="n">
        <f aca="false">Assumptions!C40*Assumptions!C8+(1-Assumptions!C40)*Assumptions!C6</f>
        <v>19.2</v>
      </c>
      <c r="U11" s="22" t="n">
        <f aca="false">Assumptions!C40*Assumptions!C8+(1-Assumptions!C40)*Assumptions!C6</f>
        <v>19.2</v>
      </c>
      <c r="V11" s="22" t="n">
        <f aca="false">Assumptions!C40*Assumptions!C8+(1-Assumptions!C40)*Assumptions!C6</f>
        <v>19.2</v>
      </c>
      <c r="W11" s="22" t="n">
        <f aca="false">Assumptions!C40*Assumptions!C8+(1-Assumptions!C40)*Assumptions!C6</f>
        <v>19.2</v>
      </c>
      <c r="X11" s="22" t="n">
        <f aca="false">Assumptions!C40*Assumptions!C8+(1-Assumptions!C40)*Assumptions!C6</f>
        <v>19.2</v>
      </c>
      <c r="Y11" s="22" t="n">
        <f aca="false">Assumptions!C40*Assumptions!C8+(1-Assumptions!C40)*Assumptions!C6</f>
        <v>19.2</v>
      </c>
      <c r="Z11" s="22" t="n">
        <f aca="false">Assumptions!C40*Assumptions!C8+(1-Assumptions!C40)*Assumptions!C6</f>
        <v>19.2</v>
      </c>
    </row>
    <row r="12" customFormat="false" ht="15" hidden="false" customHeight="false" outlineLevel="0" collapsed="false">
      <c r="B12" s="3" t="s">
        <v>117</v>
      </c>
      <c r="C12" s="29" t="n">
        <f aca="false">C8*C11</f>
        <v>960</v>
      </c>
      <c r="D12" s="29" t="n">
        <f aca="false">D8*D11</f>
        <v>1689.6</v>
      </c>
      <c r="E12" s="29" t="n">
        <f aca="false">E8*E11</f>
        <v>2390.016</v>
      </c>
      <c r="F12" s="29" t="n">
        <f aca="false">F8*F11</f>
        <v>3062.41536</v>
      </c>
      <c r="G12" s="29" t="n">
        <f aca="false">G8*G11</f>
        <v>3707.9187456</v>
      </c>
      <c r="H12" s="29" t="n">
        <f aca="false">H8*H11</f>
        <v>4327.601995776</v>
      </c>
      <c r="I12" s="29" t="n">
        <f aca="false">I8*I11</f>
        <v>4922.49791594496</v>
      </c>
      <c r="J12" s="29" t="n">
        <f aca="false">J8*J11</f>
        <v>5493.59799930716</v>
      </c>
      <c r="K12" s="29" t="n">
        <f aca="false">K8*K11</f>
        <v>6041.85407933488</v>
      </c>
      <c r="L12" s="29" t="n">
        <f aca="false">L8*L11</f>
        <v>6568.17991616148</v>
      </c>
      <c r="M12" s="29" t="n">
        <f aca="false">M8*M11</f>
        <v>7073.45271951502</v>
      </c>
      <c r="N12" s="29" t="n">
        <f aca="false">N8*N11</f>
        <v>7558.51461073442</v>
      </c>
      <c r="O12" s="29" t="n">
        <f aca="false">O8*O11</f>
        <v>8024.17402630504</v>
      </c>
      <c r="P12" s="29" t="n">
        <f aca="false">P8*P11</f>
        <v>8471.20706525284</v>
      </c>
      <c r="Q12" s="29" t="n">
        <f aca="false">Q8*Q11</f>
        <v>8900.35878264273</v>
      </c>
      <c r="R12" s="29" t="n">
        <f aca="false">R8*R11</f>
        <v>9312.34443133702</v>
      </c>
      <c r="S12" s="29" t="n">
        <f aca="false">S8*S11</f>
        <v>9707.85065408354</v>
      </c>
      <c r="T12" s="29" t="n">
        <f aca="false">T8*T11</f>
        <v>10087.5366279202</v>
      </c>
      <c r="U12" s="29" t="n">
        <f aca="false">U8*U11</f>
        <v>10452.0351628034</v>
      </c>
      <c r="V12" s="29" t="n">
        <f aca="false">V8*V11</f>
        <v>10801.9537562913</v>
      </c>
      <c r="W12" s="29" t="n">
        <f aca="false">W8*W11</f>
        <v>11137.8756060396</v>
      </c>
      <c r="X12" s="29" t="n">
        <f aca="false">X8*X11</f>
        <v>11460.360581798</v>
      </c>
      <c r="Y12" s="29" t="n">
        <f aca="false">Y8*Y11</f>
        <v>11769.9461585261</v>
      </c>
      <c r="Z12" s="29" t="n">
        <f aca="false">Z8*Z11</f>
        <v>12067.1483121851</v>
      </c>
    </row>
    <row r="13" customFormat="false" ht="15" hidden="false" customHeight="false" outlineLevel="0" collapsed="false">
      <c r="B13" s="8" t="s">
        <v>118</v>
      </c>
      <c r="C13" s="38" t="n">
        <f aca="false">'Per-Unit Economics'!F13</f>
        <v>0.861833333333333</v>
      </c>
      <c r="D13" s="38" t="n">
        <f aca="false">'Per-Unit Economics'!F13</f>
        <v>0.861833333333333</v>
      </c>
      <c r="E13" s="38" t="n">
        <f aca="false">'Per-Unit Economics'!F13</f>
        <v>0.861833333333333</v>
      </c>
      <c r="F13" s="38" t="n">
        <f aca="false">'Per-Unit Economics'!F13</f>
        <v>0.861833333333333</v>
      </c>
      <c r="G13" s="38" t="n">
        <f aca="false">'Per-Unit Economics'!F13</f>
        <v>0.861833333333333</v>
      </c>
      <c r="H13" s="38" t="n">
        <f aca="false">'Per-Unit Economics'!F13</f>
        <v>0.861833333333333</v>
      </c>
      <c r="I13" s="38" t="n">
        <f aca="false">'Per-Unit Economics'!F13</f>
        <v>0.861833333333333</v>
      </c>
      <c r="J13" s="38" t="n">
        <f aca="false">'Per-Unit Economics'!F13</f>
        <v>0.861833333333333</v>
      </c>
      <c r="K13" s="38" t="n">
        <f aca="false">'Per-Unit Economics'!F13</f>
        <v>0.861833333333333</v>
      </c>
      <c r="L13" s="38" t="n">
        <f aca="false">'Per-Unit Economics'!F13</f>
        <v>0.861833333333333</v>
      </c>
      <c r="M13" s="38" t="n">
        <f aca="false">'Per-Unit Economics'!F13</f>
        <v>0.861833333333333</v>
      </c>
      <c r="N13" s="38" t="n">
        <f aca="false">'Per-Unit Economics'!F13</f>
        <v>0.861833333333333</v>
      </c>
      <c r="O13" s="38" t="n">
        <f aca="false">'Per-Unit Economics'!F13</f>
        <v>0.861833333333333</v>
      </c>
      <c r="P13" s="38" t="n">
        <f aca="false">'Per-Unit Economics'!F13</f>
        <v>0.861833333333333</v>
      </c>
      <c r="Q13" s="38" t="n">
        <f aca="false">'Per-Unit Economics'!F13</f>
        <v>0.861833333333333</v>
      </c>
      <c r="R13" s="38" t="n">
        <f aca="false">'Per-Unit Economics'!F13</f>
        <v>0.861833333333333</v>
      </c>
      <c r="S13" s="38" t="n">
        <f aca="false">'Per-Unit Economics'!F13</f>
        <v>0.861833333333333</v>
      </c>
      <c r="T13" s="38" t="n">
        <f aca="false">'Per-Unit Economics'!F13</f>
        <v>0.861833333333333</v>
      </c>
      <c r="U13" s="38" t="n">
        <f aca="false">'Per-Unit Economics'!F13</f>
        <v>0.861833333333333</v>
      </c>
      <c r="V13" s="38" t="n">
        <f aca="false">'Per-Unit Economics'!F13</f>
        <v>0.861833333333333</v>
      </c>
      <c r="W13" s="38" t="n">
        <f aca="false">'Per-Unit Economics'!F13</f>
        <v>0.861833333333333</v>
      </c>
      <c r="X13" s="38" t="n">
        <f aca="false">'Per-Unit Economics'!F13</f>
        <v>0.861833333333333</v>
      </c>
      <c r="Y13" s="38" t="n">
        <f aca="false">'Per-Unit Economics'!F13</f>
        <v>0.861833333333333</v>
      </c>
      <c r="Z13" s="38" t="n">
        <f aca="false">'Per-Unit Economics'!F13</f>
        <v>0.861833333333333</v>
      </c>
    </row>
    <row r="14" customFormat="false" ht="15" hidden="false" customHeight="false" outlineLevel="0" collapsed="false">
      <c r="B14" s="3" t="s">
        <v>119</v>
      </c>
      <c r="C14" s="29" t="n">
        <f aca="false">C12*C13</f>
        <v>827.36</v>
      </c>
      <c r="D14" s="29" t="n">
        <f aca="false">D12*D13</f>
        <v>1456.1536</v>
      </c>
      <c r="E14" s="29" t="n">
        <f aca="false">E12*E13</f>
        <v>2059.795456</v>
      </c>
      <c r="F14" s="29" t="n">
        <f aca="false">F12*F13</f>
        <v>2639.29163776</v>
      </c>
      <c r="G14" s="29" t="n">
        <f aca="false">G12*G13</f>
        <v>3195.6079722496</v>
      </c>
      <c r="H14" s="29" t="n">
        <f aca="false">H12*H13</f>
        <v>3729.67165335962</v>
      </c>
      <c r="I14" s="29" t="n">
        <f aca="false">I12*I13</f>
        <v>4242.37278722523</v>
      </c>
      <c r="J14" s="29" t="n">
        <f aca="false">J12*J13</f>
        <v>4734.56587573622</v>
      </c>
      <c r="K14" s="29" t="n">
        <f aca="false">K12*K13</f>
        <v>5207.07124070677</v>
      </c>
      <c r="L14" s="29" t="n">
        <f aca="false">L12*L13</f>
        <v>5660.6763910785</v>
      </c>
      <c r="M14" s="29" t="n">
        <f aca="false">M12*M13</f>
        <v>6096.13733543536</v>
      </c>
      <c r="N14" s="29" t="n">
        <f aca="false">N12*N13</f>
        <v>6514.17984201795</v>
      </c>
      <c r="O14" s="29" t="n">
        <f aca="false">O12*O13</f>
        <v>6915.50064833723</v>
      </c>
      <c r="P14" s="29" t="n">
        <f aca="false">P12*P13</f>
        <v>7300.76862240374</v>
      </c>
      <c r="Q14" s="29" t="n">
        <f aca="false">Q12*Q13</f>
        <v>7670.62587750759</v>
      </c>
      <c r="R14" s="29" t="n">
        <f aca="false">R12*R13</f>
        <v>8025.68884240729</v>
      </c>
      <c r="S14" s="29" t="n">
        <f aca="false">S12*S13</f>
        <v>8366.549288711</v>
      </c>
      <c r="T14" s="29" t="n">
        <f aca="false">T12*T13</f>
        <v>8693.77531716256</v>
      </c>
      <c r="U14" s="29" t="n">
        <f aca="false">U12*U13</f>
        <v>9007.91230447605</v>
      </c>
      <c r="V14" s="29" t="n">
        <f aca="false">V12*V13</f>
        <v>9309.48381229701</v>
      </c>
      <c r="W14" s="29" t="n">
        <f aca="false">W12*W13</f>
        <v>9598.99245980513</v>
      </c>
      <c r="X14" s="29" t="n">
        <f aca="false">X12*X13</f>
        <v>9876.92076141293</v>
      </c>
      <c r="Y14" s="29" t="n">
        <f aca="false">Y12*Y13</f>
        <v>10143.7319309564</v>
      </c>
      <c r="Z14" s="29" t="n">
        <f aca="false">Z12*Z13</f>
        <v>10399.8706537182</v>
      </c>
    </row>
    <row r="16" customFormat="false" ht="15" hidden="false" customHeight="false" outlineLevel="0" collapsed="false">
      <c r="B16" s="7" t="s">
        <v>120</v>
      </c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customFormat="false" ht="15" hidden="false" customHeight="false" outlineLevel="0" collapsed="false">
      <c r="B17" s="8" t="s">
        <v>121</v>
      </c>
      <c r="C17" s="39" t="n">
        <f aca="false">-C6*Assumptions!C32</f>
        <v>-955</v>
      </c>
      <c r="D17" s="39" t="n">
        <f aca="false">-D6*Assumptions!C32</f>
        <v>-764</v>
      </c>
      <c r="E17" s="39" t="n">
        <f aca="false">-E6*Assumptions!C32</f>
        <v>-764</v>
      </c>
      <c r="F17" s="39" t="n">
        <f aca="false">-F6*Assumptions!C32</f>
        <v>-764</v>
      </c>
      <c r="G17" s="39" t="n">
        <f aca="false">-G6*Assumptions!C32</f>
        <v>-764</v>
      </c>
      <c r="H17" s="39" t="n">
        <f aca="false">-H6*Assumptions!C32</f>
        <v>-764</v>
      </c>
      <c r="I17" s="39" t="n">
        <f aca="false">-I6*Assumptions!C32</f>
        <v>-764</v>
      </c>
      <c r="J17" s="39" t="n">
        <f aca="false">-J6*Assumptions!C32</f>
        <v>-764</v>
      </c>
      <c r="K17" s="39" t="n">
        <f aca="false">-K6*Assumptions!C32</f>
        <v>-764</v>
      </c>
      <c r="L17" s="39" t="n">
        <f aca="false">-L6*Assumptions!C32</f>
        <v>-764</v>
      </c>
      <c r="M17" s="39" t="n">
        <f aca="false">-M6*Assumptions!C32</f>
        <v>-764</v>
      </c>
      <c r="N17" s="39" t="n">
        <f aca="false">-N6*Assumptions!C32</f>
        <v>-764</v>
      </c>
      <c r="O17" s="39" t="n">
        <f aca="false">-O6*Assumptions!C32</f>
        <v>-764</v>
      </c>
      <c r="P17" s="39" t="n">
        <f aca="false">-P6*Assumptions!C32</f>
        <v>-764</v>
      </c>
      <c r="Q17" s="39" t="n">
        <f aca="false">-Q6*Assumptions!C32</f>
        <v>-764</v>
      </c>
      <c r="R17" s="39" t="n">
        <f aca="false">-R6*Assumptions!C32</f>
        <v>-764</v>
      </c>
      <c r="S17" s="39" t="n">
        <f aca="false">-S6*Assumptions!C32</f>
        <v>-764</v>
      </c>
      <c r="T17" s="39" t="n">
        <f aca="false">-T6*Assumptions!C32</f>
        <v>-764</v>
      </c>
      <c r="U17" s="39" t="n">
        <f aca="false">-U6*Assumptions!C32</f>
        <v>-764</v>
      </c>
      <c r="V17" s="39" t="n">
        <f aca="false">-V6*Assumptions!C32</f>
        <v>-764</v>
      </c>
      <c r="W17" s="39" t="n">
        <f aca="false">-W6*Assumptions!C32</f>
        <v>-764</v>
      </c>
      <c r="X17" s="39" t="n">
        <f aca="false">-X6*Assumptions!C32</f>
        <v>-764</v>
      </c>
      <c r="Y17" s="39" t="n">
        <f aca="false">-Y6*Assumptions!C32</f>
        <v>-764</v>
      </c>
      <c r="Z17" s="39" t="n">
        <f aca="false">-Z6*Assumptions!C32</f>
        <v>-764</v>
      </c>
    </row>
    <row r="18" customFormat="false" ht="15" hidden="false" customHeight="false" outlineLevel="0" collapsed="false">
      <c r="B18" s="3" t="s">
        <v>122</v>
      </c>
      <c r="C18" s="29" t="n">
        <f aca="false">C14+C17</f>
        <v>-127.64</v>
      </c>
      <c r="D18" s="29" t="n">
        <f aca="false">D14+D17</f>
        <v>692.1536</v>
      </c>
      <c r="E18" s="29" t="n">
        <f aca="false">E14+E17</f>
        <v>1295.795456</v>
      </c>
      <c r="F18" s="29" t="n">
        <f aca="false">F14+F17</f>
        <v>1875.29163776</v>
      </c>
      <c r="G18" s="29" t="n">
        <f aca="false">G14+G17</f>
        <v>2431.6079722496</v>
      </c>
      <c r="H18" s="29" t="n">
        <f aca="false">H14+H17</f>
        <v>2965.67165335962</v>
      </c>
      <c r="I18" s="29" t="n">
        <f aca="false">I14+I17</f>
        <v>3478.37278722523</v>
      </c>
      <c r="J18" s="29" t="n">
        <f aca="false">J14+J17</f>
        <v>3970.56587573622</v>
      </c>
      <c r="K18" s="29" t="n">
        <f aca="false">K14+K17</f>
        <v>4443.07124070677</v>
      </c>
      <c r="L18" s="29" t="n">
        <f aca="false">L14+L17</f>
        <v>4896.6763910785</v>
      </c>
      <c r="M18" s="29" t="n">
        <f aca="false">M14+M17</f>
        <v>5332.13733543536</v>
      </c>
      <c r="N18" s="29" t="n">
        <f aca="false">N14+N17</f>
        <v>5750.17984201795</v>
      </c>
      <c r="O18" s="29" t="n">
        <f aca="false">O14+O17</f>
        <v>6151.50064833723</v>
      </c>
      <c r="P18" s="29" t="n">
        <f aca="false">P14+P17</f>
        <v>6536.76862240374</v>
      </c>
      <c r="Q18" s="29" t="n">
        <f aca="false">Q14+Q17</f>
        <v>6906.62587750759</v>
      </c>
      <c r="R18" s="29" t="n">
        <f aca="false">R14+R17</f>
        <v>7261.68884240729</v>
      </c>
      <c r="S18" s="29" t="n">
        <f aca="false">S14+S17</f>
        <v>7602.549288711</v>
      </c>
      <c r="T18" s="29" t="n">
        <f aca="false">T14+T17</f>
        <v>7929.77531716256</v>
      </c>
      <c r="U18" s="29" t="n">
        <f aca="false">U14+U17</f>
        <v>8243.91230447605</v>
      </c>
      <c r="V18" s="29" t="n">
        <f aca="false">V14+V17</f>
        <v>8545.48381229701</v>
      </c>
      <c r="W18" s="29" t="n">
        <f aca="false">W14+W17</f>
        <v>8834.99245980513</v>
      </c>
      <c r="X18" s="29" t="n">
        <f aca="false">X14+X17</f>
        <v>9112.92076141293</v>
      </c>
      <c r="Y18" s="29" t="n">
        <f aca="false">Y14+Y17</f>
        <v>9379.73193095641</v>
      </c>
      <c r="Z18" s="29" t="n">
        <f aca="false">Z14+Z17</f>
        <v>9635.87065371815</v>
      </c>
    </row>
    <row r="19" customFormat="false" ht="15" hidden="false" customHeight="false" outlineLevel="0" collapsed="false">
      <c r="B19" s="3" t="s">
        <v>123</v>
      </c>
      <c r="C19" s="29" t="n">
        <f aca="false">C18</f>
        <v>-127.64</v>
      </c>
      <c r="D19" s="29" t="n">
        <f aca="false">C19+D18</f>
        <v>564.5136</v>
      </c>
      <c r="E19" s="29" t="n">
        <f aca="false">D19+E18</f>
        <v>1860.309056</v>
      </c>
      <c r="F19" s="29" t="n">
        <f aca="false">E19+F18</f>
        <v>3735.60069376</v>
      </c>
      <c r="G19" s="29" t="n">
        <f aca="false">F19+G18</f>
        <v>6167.2086660096</v>
      </c>
      <c r="H19" s="29" t="n">
        <f aca="false">G19+H18</f>
        <v>9132.88031936922</v>
      </c>
      <c r="I19" s="29" t="n">
        <f aca="false">H19+I18</f>
        <v>12611.2531065945</v>
      </c>
      <c r="J19" s="29" t="n">
        <f aca="false">I19+J18</f>
        <v>16581.8189823307</v>
      </c>
      <c r="K19" s="29" t="n">
        <f aca="false">J19+K18</f>
        <v>21024.8902230374</v>
      </c>
      <c r="L19" s="29" t="n">
        <f aca="false">K19+L18</f>
        <v>25921.5666141159</v>
      </c>
      <c r="M19" s="29" t="n">
        <f aca="false">L19+M18</f>
        <v>31253.7039495513</v>
      </c>
      <c r="N19" s="29" t="n">
        <f aca="false">M19+N18</f>
        <v>37003.8837915693</v>
      </c>
      <c r="O19" s="29" t="n">
        <f aca="false">N19+O18</f>
        <v>43155.3844399065</v>
      </c>
      <c r="P19" s="29" t="n">
        <f aca="false">O19+P18</f>
        <v>49692.1530623102</v>
      </c>
      <c r="Q19" s="29" t="n">
        <f aca="false">P19+Q18</f>
        <v>56598.7789398178</v>
      </c>
      <c r="R19" s="29" t="n">
        <f aca="false">Q19+R18</f>
        <v>63860.4677822251</v>
      </c>
      <c r="S19" s="29" t="n">
        <f aca="false">R19+S18</f>
        <v>71463.0170709361</v>
      </c>
      <c r="T19" s="29" t="n">
        <f aca="false">S19+T18</f>
        <v>79392.7923880987</v>
      </c>
      <c r="U19" s="29" t="n">
        <f aca="false">T19+U18</f>
        <v>87636.7046925747</v>
      </c>
      <c r="V19" s="29" t="n">
        <f aca="false">U19+V18</f>
        <v>96182.1885048717</v>
      </c>
      <c r="W19" s="29" t="n">
        <f aca="false">V19+W18</f>
        <v>105017.180964677</v>
      </c>
      <c r="X19" s="29" t="n">
        <f aca="false">W19+X18</f>
        <v>114130.10172609</v>
      </c>
      <c r="Y19" s="29" t="n">
        <f aca="false">X19+Y18</f>
        <v>123509.833657046</v>
      </c>
      <c r="Z19" s="29" t="n">
        <f aca="false">Y19+Z18</f>
        <v>133145.704310764</v>
      </c>
    </row>
    <row r="21" customFormat="false" ht="15" hidden="false" customHeight="false" outlineLevel="0" collapsed="false">
      <c r="B21" s="6" t="s">
        <v>124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6"/>
    <col collapsed="false" customWidth="true" hidden="false" outlineLevel="0" max="5" min="3" style="0" width="18"/>
    <col collapsed="false" customWidth="true" hidden="false" outlineLevel="0" max="6" min="6" style="0" width="40"/>
  </cols>
  <sheetData>
    <row r="1" customFormat="false" ht="25.5" hidden="false" customHeight="true" outlineLevel="0" collapsed="false">
      <c r="B1" s="4" t="s">
        <v>125</v>
      </c>
      <c r="C1" s="5"/>
      <c r="D1" s="5"/>
      <c r="E1" s="5"/>
      <c r="F1" s="5"/>
    </row>
    <row r="3" customFormat="false" ht="15" hidden="false" customHeight="false" outlineLevel="0" collapsed="false">
      <c r="B3" s="6" t="s">
        <v>126</v>
      </c>
    </row>
    <row r="5" customFormat="false" ht="15" hidden="false" customHeight="false" outlineLevel="0" collapsed="false">
      <c r="B5" s="19" t="s">
        <v>127</v>
      </c>
      <c r="C5" s="19" t="s">
        <v>128</v>
      </c>
      <c r="D5" s="19" t="s">
        <v>129</v>
      </c>
      <c r="E5" s="19" t="s">
        <v>130</v>
      </c>
      <c r="F5" s="19" t="s">
        <v>131</v>
      </c>
    </row>
    <row r="6" customFormat="false" ht="15" hidden="false" customHeight="false" outlineLevel="0" collapsed="false">
      <c r="B6" s="8" t="s">
        <v>132</v>
      </c>
      <c r="C6" s="40" t="n">
        <v>20</v>
      </c>
      <c r="D6" s="40" t="n">
        <v>24</v>
      </c>
      <c r="E6" s="40" t="n">
        <v>29</v>
      </c>
      <c r="F6" s="10" t="s">
        <v>133</v>
      </c>
    </row>
    <row r="7" customFormat="false" ht="15" hidden="false" customHeight="false" outlineLevel="0" collapsed="false">
      <c r="B7" s="8" t="s">
        <v>134</v>
      </c>
      <c r="C7" s="41" t="n">
        <v>0.5</v>
      </c>
      <c r="D7" s="41" t="n">
        <v>0.7</v>
      </c>
      <c r="E7" s="41" t="n">
        <v>0.85</v>
      </c>
      <c r="F7" s="10" t="s">
        <v>135</v>
      </c>
    </row>
    <row r="8" customFormat="false" ht="15" hidden="false" customHeight="false" outlineLevel="0" collapsed="false">
      <c r="B8" s="8" t="s">
        <v>63</v>
      </c>
      <c r="C8" s="41" t="n">
        <v>0.06</v>
      </c>
      <c r="D8" s="41" t="n">
        <v>0.04</v>
      </c>
      <c r="E8" s="41" t="n">
        <v>0.025</v>
      </c>
      <c r="F8" s="10" t="s">
        <v>136</v>
      </c>
    </row>
    <row r="9" customFormat="false" ht="15" hidden="false" customHeight="false" outlineLevel="0" collapsed="false">
      <c r="B9" s="8" t="s">
        <v>137</v>
      </c>
      <c r="C9" s="42" t="n">
        <v>25</v>
      </c>
      <c r="D9" s="42" t="n">
        <v>40</v>
      </c>
      <c r="E9" s="42" t="n">
        <v>75</v>
      </c>
      <c r="F9" s="10" t="s">
        <v>138</v>
      </c>
    </row>
    <row r="10" customFormat="false" ht="15" hidden="false" customHeight="false" outlineLevel="0" collapsed="false">
      <c r="B10" s="8" t="s">
        <v>139</v>
      </c>
      <c r="C10" s="40" t="n">
        <v>0.5</v>
      </c>
      <c r="D10" s="40" t="n">
        <v>0.5</v>
      </c>
      <c r="E10" s="40" t="n">
        <v>0.35</v>
      </c>
      <c r="F10" s="10" t="s">
        <v>140</v>
      </c>
    </row>
    <row r="11" customFormat="false" ht="15" hidden="false" customHeight="false" outlineLevel="0" collapsed="false">
      <c r="B11" s="8" t="s">
        <v>141</v>
      </c>
      <c r="C11" s="41" t="n">
        <v>0.45</v>
      </c>
      <c r="D11" s="41" t="n">
        <v>0.6</v>
      </c>
      <c r="E11" s="41" t="n">
        <v>0.75</v>
      </c>
      <c r="F11" s="10" t="s">
        <v>142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2026-06-21T19:58:00Z</dcterms:created>
  <dc:creator>openpyxl</dc:creator>
  <dc:description/>
  <dc:language>en-US</dc:language>
  <cp:lastModifiedBy/>
  <dcterms:modified xsi:type="dcterms:W3CDTF">2026-06-21T19:58:00Z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